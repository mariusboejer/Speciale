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umni-my.sharepoint.com/personal/brv281_alumni_ku_dk/Documents/Statskundskab/Speciale/R/"/>
    </mc:Choice>
  </mc:AlternateContent>
  <xr:revisionPtr revIDLastSave="555" documentId="8_{FB421322-4493-A54A-BD09-1E75614A5DBC}" xr6:coauthVersionLast="47" xr6:coauthVersionMax="47" xr10:uidLastSave="{E574D7C3-101E-BC4E-B80C-83D119716B97}"/>
  <bookViews>
    <workbookView xWindow="0" yWindow="500" windowWidth="28800" windowHeight="16100" activeTab="5" xr2:uid="{00000000-000D-0000-FFFF-FFFF00000000}"/>
  </bookViews>
  <sheets>
    <sheet name="ALDER" sheetId="4" r:id="rId1"/>
    <sheet name="KØN" sheetId="5" r:id="rId2"/>
    <sheet name="BYDEL" sheetId="8" r:id="rId3"/>
    <sheet name="BOFORM" sheetId="9" r:id="rId4"/>
    <sheet name="PARTIER" sheetId="10" r:id="rId5"/>
    <sheet name="UDD" sheetId="11" r:id="rId6"/>
    <sheet name="Antal almene boliger" sheetId="12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2" l="1"/>
  <c r="G5" i="12"/>
  <c r="F6" i="12"/>
  <c r="G7" i="12"/>
  <c r="G8" i="12"/>
  <c r="G9" i="12"/>
  <c r="G10" i="12"/>
  <c r="G11" i="12"/>
  <c r="G12" i="12"/>
  <c r="G13" i="12"/>
  <c r="G14" i="12"/>
  <c r="F2" i="9"/>
  <c r="F3" i="9"/>
  <c r="F4" i="9"/>
  <c r="F5" i="9" s="1"/>
  <c r="C4" i="9"/>
  <c r="C5" i="9" s="1"/>
  <c r="D4" i="9"/>
  <c r="D5" i="9" s="1"/>
  <c r="E4" i="9"/>
  <c r="E5" i="9" s="1"/>
  <c r="B4" i="9"/>
  <c r="B5" i="9" s="1"/>
  <c r="C3" i="8"/>
  <c r="C3" i="11"/>
  <c r="D3" i="11"/>
  <c r="E3" i="11"/>
  <c r="F3" i="11"/>
  <c r="G3" i="11"/>
  <c r="H3" i="11"/>
  <c r="I3" i="11"/>
  <c r="J3" i="11"/>
  <c r="K3" i="11"/>
  <c r="B3" i="11"/>
  <c r="K3" i="10"/>
  <c r="L3" i="10"/>
  <c r="M3" i="10"/>
  <c r="N3" i="10"/>
  <c r="C3" i="10"/>
  <c r="D3" i="10"/>
  <c r="E3" i="10"/>
  <c r="F3" i="10"/>
  <c r="G3" i="10"/>
  <c r="H3" i="10"/>
  <c r="I3" i="10"/>
  <c r="J3" i="10"/>
  <c r="B3" i="10"/>
  <c r="D3" i="5"/>
  <c r="C3" i="5"/>
  <c r="B3" i="5"/>
  <c r="B3" i="8"/>
  <c r="M3" i="8"/>
  <c r="D3" i="8"/>
  <c r="E3" i="8"/>
  <c r="F3" i="8"/>
  <c r="G3" i="8"/>
  <c r="H3" i="8"/>
  <c r="I3" i="8"/>
  <c r="J3" i="8"/>
  <c r="K3" i="8"/>
  <c r="L3" i="8"/>
  <c r="N2" i="10" l="1"/>
  <c r="M2" i="8"/>
  <c r="H2" i="4"/>
  <c r="D2" i="5"/>
  <c r="B3" i="4" l="1"/>
  <c r="D3" i="4"/>
  <c r="C3" i="4"/>
  <c r="E3" i="4"/>
  <c r="F3" i="4"/>
  <c r="G3" i="4"/>
  <c r="H3" i="4"/>
</calcChain>
</file>

<file path=xl/sharedStrings.xml><?xml version="1.0" encoding="utf-8"?>
<sst xmlns="http://schemas.openxmlformats.org/spreadsheetml/2006/main" count="101" uniqueCount="81">
  <si>
    <t>Enhed: Antal</t>
  </si>
  <si>
    <t>18-29</t>
  </si>
  <si>
    <t>30-39</t>
  </si>
  <si>
    <t>40-49</t>
  </si>
  <si>
    <t>50-59</t>
  </si>
  <si>
    <t>60-69</t>
  </si>
  <si>
    <t>70+</t>
  </si>
  <si>
    <t>Frederiksberg</t>
  </si>
  <si>
    <t>I alt</t>
  </si>
  <si>
    <t>Mænd</t>
  </si>
  <si>
    <t>Kvinder</t>
  </si>
  <si>
    <t>Indre by</t>
  </si>
  <si>
    <t>Østerbro</t>
  </si>
  <si>
    <t>Nørrebro</t>
  </si>
  <si>
    <t>Valby</t>
  </si>
  <si>
    <t>Vanløse</t>
  </si>
  <si>
    <t>Brønshøj-Husum</t>
  </si>
  <si>
    <t>Bispebjerg/Nordvest</t>
  </si>
  <si>
    <t>Amager Øst</t>
  </si>
  <si>
    <t>Amager Vest</t>
  </si>
  <si>
    <t>Bydel - Indre By</t>
  </si>
  <si>
    <t>Bydel - Østerbro</t>
  </si>
  <si>
    <t>Bydel - Nørrebro</t>
  </si>
  <si>
    <t>Bydel - Vesterbro/Kongens Enghave</t>
  </si>
  <si>
    <t>Bydel - Valby</t>
  </si>
  <si>
    <t>Bydel - Vanløse</t>
  </si>
  <si>
    <t>Bydel - Brønshøj-Husum</t>
  </si>
  <si>
    <t>Bydel - Bispebjerg</t>
  </si>
  <si>
    <t>Bydel - Amager Øst</t>
  </si>
  <si>
    <t>Bydel - Amager Vest</t>
  </si>
  <si>
    <t>Ejer</t>
  </si>
  <si>
    <t>Andel</t>
  </si>
  <si>
    <t>Leje privat</t>
  </si>
  <si>
    <t>Leje almen</t>
  </si>
  <si>
    <t>Procent</t>
  </si>
  <si>
    <t>KBH</t>
  </si>
  <si>
    <t>FRB</t>
  </si>
  <si>
    <t>A: Socialdemokratiet</t>
  </si>
  <si>
    <t>B: Radikale Venstre</t>
  </si>
  <si>
    <t>C: Det Konservative Folkeparti</t>
  </si>
  <si>
    <t>F: SF - Socialistisk Folkeparti</t>
  </si>
  <si>
    <t>H: Borgernes Parti - Lars Boje Mathiesen</t>
  </si>
  <si>
    <t>I: Liberal Alliance</t>
  </si>
  <si>
    <t>M: Moderaterne</t>
  </si>
  <si>
    <t>O: Dansk Folkeparti</t>
  </si>
  <si>
    <t>V: Venstre, Danmarks Liberale Parti</t>
  </si>
  <si>
    <t>Æ: Danmarksdemokraterne - Inger Støjberg</t>
  </si>
  <si>
    <t>Ø: Enhedslisten - De Rød-Grønne</t>
  </si>
  <si>
    <t>Å: Alternativet</t>
  </si>
  <si>
    <t>Note: Dataen er udregnet ved at tage Københavns Storkreds og fratrække opstillingskredsen Tårnby</t>
  </si>
  <si>
    <t>Note: Dataen er udregnet ved udtræk fra DST på hhv. Københavns Kommune og Frederiksberg Kommune og derefter adderet</t>
  </si>
  <si>
    <t>http://www.statbank.dk/BY2</t>
  </si>
  <si>
    <t>Data hentet fra BY2 via nedenstående link</t>
  </si>
  <si>
    <t xml:space="preserve">Note: Dataen er udregnet ved udtræk fra hhv. Københavns Kommunes statistikbank og DST (Frederiksberg Kommune) </t>
  </si>
  <si>
    <t>Data hentet fra KKBEF1 via nedenstående link</t>
  </si>
  <si>
    <t>https://kk.statistikbank.dk/statbank5a/SelectVarVal/Define.asp?MainTable=KKBEF1&amp;PLanguage=0&amp;PXSId=0&amp;wsid=cflist</t>
  </si>
  <si>
    <t>Kilde:</t>
  </si>
  <si>
    <t>https://www.dst.dk/valg/Valg2546527/valgopg/valgopgStor10.htm</t>
  </si>
  <si>
    <t>Note: Baseret på data fra DST, LIGEUB1</t>
  </si>
  <si>
    <t>https://www.statbank.dk/statbank5a/SelectVarVal/Define.asp?MainTable=LIGEUB1&amp;PLanguage=0&amp;PXSId=0&amp;wsid=cftree</t>
  </si>
  <si>
    <t>Grundskole</t>
  </si>
  <si>
    <t>På LIGEUB1 fremstår adgangsgivende uddannelse som en selvstændig kategori. Her er den lagt sammen med Gymnasiale uddannelser.</t>
  </si>
  <si>
    <t>Vesterbro/Kgs. Enghave</t>
  </si>
  <si>
    <t>Antal</t>
  </si>
  <si>
    <t>Gymnasial uddannelse</t>
  </si>
  <si>
    <t>Erhvervsuddannelse</t>
  </si>
  <si>
    <t>Kort videregående uddannelse</t>
  </si>
  <si>
    <t>Mellemlang videregående uddannelse</t>
  </si>
  <si>
    <t>Universitetsbachelor</t>
  </si>
  <si>
    <t>Lang videregående uddannelser</t>
  </si>
  <si>
    <t>Forskeruddannelse</t>
  </si>
  <si>
    <t>Uoplyst</t>
  </si>
  <si>
    <t>Baseret på tal fra KKs boligredegørelse 2025 og Frederiksberg Kommunes "introduktion til kandidater til kommunalvalget"</t>
  </si>
  <si>
    <t>Kilde: Københavns Kommunes beregninger på baggrund af udtræk fra BBR og udtræk fra DST BOL103 på Frederiksberg og Frederiksberg Kommunes boligopgørelse 2025</t>
  </si>
  <si>
    <t>2026</t>
  </si>
  <si>
    <t>Ibrugtagningsår i alt</t>
  </si>
  <si>
    <t>Antal boliger</t>
  </si>
  <si>
    <t>Procent almene boliger</t>
  </si>
  <si>
    <t>Almen bolig</t>
  </si>
  <si>
    <t>Ejerforhold i alt</t>
  </si>
  <si>
    <t>Boliger, arealer og beboere efter enhed, ibrugtagningsår, tid, distrikt og ejerforhold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</si>
</sst>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b/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NumberFormat="0" applyBorder="0" applyAlignment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/>
    <xf numFmtId="9" fontId="0" fillId="0" borderId="0" xfId="0" applyNumberFormat="1"/>
    <xf numFmtId="3" fontId="0" fillId="0" borderId="0" xfId="0" applyNumberFormat="1"/>
    <xf numFmtId="0" fontId="5" fillId="0" borderId="0" xfId="2"/>
    <xf numFmtId="0" fontId="2" fillId="0" borderId="0" xfId="0" applyFont="1" applyAlignment="1">
      <alignment horizontal="left"/>
    </xf>
    <xf numFmtId="0" fontId="5" fillId="0" borderId="0" xfId="2" applyAlignment="1">
      <alignment horizontal="right"/>
    </xf>
    <xf numFmtId="9" fontId="0" fillId="0" borderId="0" xfId="1" applyFont="1"/>
    <xf numFmtId="164" fontId="0" fillId="0" borderId="0" xfId="1" applyNumberFormat="1" applyFont="1"/>
    <xf numFmtId="164" fontId="0" fillId="0" borderId="0" xfId="1" applyNumberFormat="1" applyFont="1" applyAlignment="1">
      <alignment horizontal="right"/>
    </xf>
    <xf numFmtId="0" fontId="6" fillId="0" borderId="0" xfId="0" applyFont="1"/>
    <xf numFmtId="1" fontId="0" fillId="0" borderId="0" xfId="0" applyNumberFormat="1"/>
  </cellXfs>
  <cellStyles count="3">
    <cellStyle name="Link" xfId="2" builtinId="8"/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bank.dk/BY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bank.dk/BY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kk.statistikbank.dk/statbank5a/SelectVarVal/Define.asp?MainTable=KKBEF1&amp;PLanguage=0&amp;PXSId=0&amp;wsid=cflist" TargetMode="External"/><Relationship Id="rId1" Type="http://schemas.openxmlformats.org/officeDocument/2006/relationships/hyperlink" Target="http://www.statbank.dk/BY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st.dk/valg/Valg2546527/valgopg/valgopgStor10.ht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atbank.dk/statbank5a/SelectVarVal/Define.asp?MainTable=LIGEUB1&amp;PLanguage=0&amp;PXSId=0&amp;wsid=cft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6DC0-3940-0A4F-955E-78833BD9DE97}">
  <dimension ref="A1:H16"/>
  <sheetViews>
    <sheetView workbookViewId="0">
      <selection activeCell="E16" sqref="E16"/>
    </sheetView>
  </sheetViews>
  <sheetFormatPr baseColWidth="10" defaultRowHeight="15" x14ac:dyDescent="0.2"/>
  <sheetData>
    <row r="1" spans="1:8" x14ac:dyDescent="0.2"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8</v>
      </c>
    </row>
    <row r="2" spans="1:8" x14ac:dyDescent="0.2">
      <c r="A2" s="6" t="s">
        <v>63</v>
      </c>
      <c r="B2">
        <v>191567</v>
      </c>
      <c r="C2">
        <v>149822</v>
      </c>
      <c r="D2">
        <v>93004</v>
      </c>
      <c r="E2">
        <v>85702</v>
      </c>
      <c r="F2">
        <v>60357</v>
      </c>
      <c r="G2">
        <v>64366</v>
      </c>
      <c r="H2">
        <f>SUM(B2:G2)</f>
        <v>644818</v>
      </c>
    </row>
    <row r="3" spans="1:8" x14ac:dyDescent="0.2">
      <c r="A3" s="6" t="s">
        <v>34</v>
      </c>
      <c r="B3" s="13">
        <f>B2/$H$2</f>
        <v>0.29708692995542929</v>
      </c>
      <c r="C3" s="13">
        <f t="shared" ref="C3:H3" si="0">C2/$H$2</f>
        <v>0.2323477322283187</v>
      </c>
      <c r="D3" s="13">
        <f t="shared" si="0"/>
        <v>0.14423294635075323</v>
      </c>
      <c r="E3" s="13">
        <f t="shared" si="0"/>
        <v>0.13290882078353891</v>
      </c>
      <c r="F3" s="13">
        <f t="shared" si="0"/>
        <v>9.3603156239435006E-2</v>
      </c>
      <c r="G3" s="13">
        <f t="shared" si="0"/>
        <v>9.9820414442524874E-2</v>
      </c>
      <c r="H3" s="13">
        <f t="shared" si="0"/>
        <v>1</v>
      </c>
    </row>
    <row r="6" spans="1:8" x14ac:dyDescent="0.2">
      <c r="A6" s="2" t="s">
        <v>50</v>
      </c>
    </row>
    <row r="7" spans="1:8" x14ac:dyDescent="0.2">
      <c r="A7" s="2" t="s">
        <v>52</v>
      </c>
    </row>
    <row r="8" spans="1:8" x14ac:dyDescent="0.2">
      <c r="A8" s="9" t="s">
        <v>51</v>
      </c>
    </row>
    <row r="16" spans="1:8" x14ac:dyDescent="0.2">
      <c r="E16" s="15"/>
    </row>
  </sheetData>
  <hyperlinks>
    <hyperlink ref="A8" r:id="rId1" xr:uid="{14CD9360-5382-AD43-AEC6-39945A9CF1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28EF-1ABE-4544-87BA-83B3B5AACD2F}">
  <dimension ref="A1:D7"/>
  <sheetViews>
    <sheetView workbookViewId="0">
      <selection activeCell="D4" sqref="D4"/>
    </sheetView>
  </sheetViews>
  <sheetFormatPr baseColWidth="10" defaultRowHeight="15" x14ac:dyDescent="0.2"/>
  <cols>
    <col min="2" max="2" width="11.1640625" bestFit="1" customWidth="1"/>
  </cols>
  <sheetData>
    <row r="1" spans="1:4" x14ac:dyDescent="0.2">
      <c r="B1" s="3" t="s">
        <v>9</v>
      </c>
      <c r="C1" s="3" t="s">
        <v>10</v>
      </c>
      <c r="D1" s="6" t="s">
        <v>8</v>
      </c>
    </row>
    <row r="2" spans="1:4" x14ac:dyDescent="0.2">
      <c r="A2" s="6" t="s">
        <v>63</v>
      </c>
      <c r="B2" s="4">
        <v>312711</v>
      </c>
      <c r="C2" s="4">
        <v>332107</v>
      </c>
      <c r="D2">
        <f>SUM(B2:C2)</f>
        <v>644818</v>
      </c>
    </row>
    <row r="3" spans="1:4" x14ac:dyDescent="0.2">
      <c r="A3" s="3" t="s">
        <v>34</v>
      </c>
      <c r="B3" s="14">
        <f>B2/D2</f>
        <v>0.48496009726775618</v>
      </c>
      <c r="C3" s="14">
        <f>C2/D2</f>
        <v>0.51503990273224387</v>
      </c>
      <c r="D3" s="14">
        <f>D2/D2</f>
        <v>1</v>
      </c>
    </row>
    <row r="4" spans="1:4" x14ac:dyDescent="0.2">
      <c r="D4" s="4"/>
    </row>
    <row r="5" spans="1:4" x14ac:dyDescent="0.2">
      <c r="A5" s="2" t="s">
        <v>50</v>
      </c>
      <c r="B5" s="3"/>
      <c r="C5" s="4"/>
      <c r="D5" s="4"/>
    </row>
    <row r="6" spans="1:4" x14ac:dyDescent="0.2">
      <c r="A6" s="2" t="s">
        <v>52</v>
      </c>
      <c r="B6" s="6"/>
    </row>
    <row r="7" spans="1:4" x14ac:dyDescent="0.2">
      <c r="A7" s="9" t="s">
        <v>51</v>
      </c>
    </row>
  </sheetData>
  <hyperlinks>
    <hyperlink ref="A7" r:id="rId1" xr:uid="{E72905C9-1F7C-B24E-8FFD-6B87EBEB48B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0622-7CDE-B345-8674-7418F2D7277B}">
  <dimension ref="A1:M13"/>
  <sheetViews>
    <sheetView workbookViewId="0">
      <selection activeCell="A10" sqref="A10"/>
    </sheetView>
  </sheetViews>
  <sheetFormatPr baseColWidth="10" defaultRowHeight="15" x14ac:dyDescent="0.2"/>
  <cols>
    <col min="2" max="2" width="11.6640625" bestFit="1" customWidth="1"/>
    <col min="3" max="3" width="12.6640625" bestFit="1" customWidth="1"/>
    <col min="4" max="4" width="22.33203125" customWidth="1"/>
    <col min="5" max="5" width="12.6640625" bestFit="1" customWidth="1"/>
    <col min="6" max="6" width="11.6640625" bestFit="1" customWidth="1"/>
    <col min="7" max="7" width="14" customWidth="1"/>
    <col min="8" max="8" width="17.83203125" customWidth="1"/>
    <col min="9" max="10" width="11.6640625" bestFit="1" customWidth="1"/>
    <col min="11" max="11" width="11.83203125" customWidth="1"/>
    <col min="12" max="12" width="12.6640625" bestFit="1" customWidth="1"/>
  </cols>
  <sheetData>
    <row r="1" spans="1:13" x14ac:dyDescent="0.2">
      <c r="B1" s="6" t="s">
        <v>11</v>
      </c>
      <c r="C1" s="6" t="s">
        <v>12</v>
      </c>
      <c r="D1" s="6" t="s">
        <v>13</v>
      </c>
      <c r="E1" s="6" t="s">
        <v>62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7</v>
      </c>
      <c r="M1" s="6" t="s">
        <v>8</v>
      </c>
    </row>
    <row r="2" spans="1:13" x14ac:dyDescent="0.2">
      <c r="A2" s="6" t="s">
        <v>63</v>
      </c>
      <c r="B2">
        <v>49740</v>
      </c>
      <c r="C2">
        <v>69319</v>
      </c>
      <c r="D2">
        <v>67564</v>
      </c>
      <c r="E2">
        <v>71116</v>
      </c>
      <c r="F2">
        <v>54580</v>
      </c>
      <c r="G2">
        <v>33556</v>
      </c>
      <c r="H2">
        <v>35189</v>
      </c>
      <c r="I2">
        <v>47448</v>
      </c>
      <c r="J2">
        <v>53925</v>
      </c>
      <c r="K2">
        <v>75210</v>
      </c>
      <c r="L2">
        <v>88459</v>
      </c>
      <c r="M2">
        <f>SUM(B2:L2)</f>
        <v>646106</v>
      </c>
    </row>
    <row r="3" spans="1:13" x14ac:dyDescent="0.2">
      <c r="A3" s="6" t="s">
        <v>34</v>
      </c>
      <c r="B3" s="13">
        <f>B2/$M$2</f>
        <v>7.6984271930612011E-2</v>
      </c>
      <c r="C3" s="13">
        <f t="shared" ref="C3:L3" si="0">C2/$M$2</f>
        <v>0.10728734913466212</v>
      </c>
      <c r="D3" s="13">
        <f t="shared" si="0"/>
        <v>0.10457107657257478</v>
      </c>
      <c r="E3" s="13">
        <f t="shared" si="0"/>
        <v>0.11006862651020111</v>
      </c>
      <c r="F3" s="13">
        <f t="shared" si="0"/>
        <v>8.4475302814089326E-2</v>
      </c>
      <c r="G3" s="13">
        <f t="shared" si="0"/>
        <v>5.1935750480571301E-2</v>
      </c>
      <c r="H3" s="13">
        <f t="shared" si="0"/>
        <v>5.446319953691809E-2</v>
      </c>
      <c r="I3" s="13">
        <f t="shared" si="0"/>
        <v>7.3436866396535558E-2</v>
      </c>
      <c r="J3" s="13">
        <f t="shared" si="0"/>
        <v>8.3461537270974107E-2</v>
      </c>
      <c r="K3" s="13">
        <f t="shared" si="0"/>
        <v>0.11640504808808462</v>
      </c>
      <c r="L3" s="13">
        <f t="shared" si="0"/>
        <v>0.136910971264777</v>
      </c>
      <c r="M3" s="13">
        <f>M2/$M$2</f>
        <v>1</v>
      </c>
    </row>
    <row r="6" spans="1:13" x14ac:dyDescent="0.2">
      <c r="A6" s="2" t="s">
        <v>53</v>
      </c>
    </row>
    <row r="7" spans="1:13" x14ac:dyDescent="0.2">
      <c r="A7" s="2" t="s">
        <v>52</v>
      </c>
    </row>
    <row r="8" spans="1:13" x14ac:dyDescent="0.2">
      <c r="A8" s="9" t="s">
        <v>51</v>
      </c>
    </row>
    <row r="9" spans="1:13" x14ac:dyDescent="0.2">
      <c r="A9" s="2" t="s">
        <v>54</v>
      </c>
    </row>
    <row r="10" spans="1:13" x14ac:dyDescent="0.2">
      <c r="A10" s="9" t="s">
        <v>55</v>
      </c>
    </row>
    <row r="12" spans="1:13" x14ac:dyDescent="0.2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3" x14ac:dyDescent="0.2">
      <c r="B13" s="4"/>
      <c r="C13" s="4"/>
      <c r="D13" s="4"/>
      <c r="E13" s="4"/>
      <c r="F13" s="4"/>
      <c r="G13" s="4"/>
      <c r="H13" s="4"/>
      <c r="I13" s="4"/>
      <c r="J13" s="4"/>
      <c r="K13" s="4"/>
    </row>
  </sheetData>
  <hyperlinks>
    <hyperlink ref="A8" r:id="rId1" xr:uid="{40CDC2D3-3EC6-2F48-BFB5-EBF35903DDB0}"/>
    <hyperlink ref="A10" r:id="rId2" xr:uid="{7A4043F0-86A9-0E47-B94E-5713DDEFA69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0466-B8DD-6145-ABEB-F7983FB1E748}">
  <dimension ref="A1:K6"/>
  <sheetViews>
    <sheetView workbookViewId="0">
      <selection sqref="A1:G6"/>
    </sheetView>
  </sheetViews>
  <sheetFormatPr baseColWidth="10" defaultRowHeight="15" x14ac:dyDescent="0.2"/>
  <sheetData>
    <row r="1" spans="1:11" x14ac:dyDescent="0.2">
      <c r="B1" s="6" t="s">
        <v>30</v>
      </c>
      <c r="C1" s="6" t="s">
        <v>31</v>
      </c>
      <c r="D1" s="6" t="s">
        <v>32</v>
      </c>
      <c r="E1" s="6" t="s">
        <v>33</v>
      </c>
      <c r="F1" s="6" t="s">
        <v>8</v>
      </c>
      <c r="H1" s="6"/>
      <c r="I1" s="6"/>
      <c r="J1" s="6"/>
      <c r="K1" s="6"/>
    </row>
    <row r="2" spans="1:11" x14ac:dyDescent="0.2">
      <c r="A2" s="6" t="s">
        <v>35</v>
      </c>
      <c r="B2" s="16">
        <v>76000</v>
      </c>
      <c r="C2" s="16">
        <v>96600</v>
      </c>
      <c r="D2" s="16">
        <v>103600</v>
      </c>
      <c r="E2" s="16">
        <v>66000</v>
      </c>
      <c r="F2" s="16">
        <f t="shared" ref="F2:F3" si="0">SUM(B2:E2)</f>
        <v>342200</v>
      </c>
    </row>
    <row r="3" spans="1:11" x14ac:dyDescent="0.2">
      <c r="A3" s="6" t="s">
        <v>36</v>
      </c>
      <c r="B3">
        <v>12958</v>
      </c>
      <c r="C3">
        <v>14528</v>
      </c>
      <c r="D3">
        <v>21796</v>
      </c>
      <c r="E3">
        <v>7708</v>
      </c>
      <c r="F3" s="16">
        <f t="shared" si="0"/>
        <v>56990</v>
      </c>
    </row>
    <row r="4" spans="1:11" x14ac:dyDescent="0.2">
      <c r="A4" s="6" t="s">
        <v>8</v>
      </c>
      <c r="B4" s="16">
        <f>SUM(B2:B3)</f>
        <v>88958</v>
      </c>
      <c r="C4" s="16">
        <f t="shared" ref="C4:E4" si="1">SUM(C2:C3)</f>
        <v>111128</v>
      </c>
      <c r="D4" s="16">
        <f t="shared" si="1"/>
        <v>125396</v>
      </c>
      <c r="E4" s="16">
        <f t="shared" si="1"/>
        <v>73708</v>
      </c>
      <c r="F4" s="16">
        <f>SUM(B4:E4)</f>
        <v>399190</v>
      </c>
    </row>
    <row r="5" spans="1:11" x14ac:dyDescent="0.2">
      <c r="A5" s="6" t="s">
        <v>34</v>
      </c>
      <c r="B5" s="13">
        <f>B4/$F$4</f>
        <v>0.22284626368396002</v>
      </c>
      <c r="C5" s="13">
        <f>C4/$F$4</f>
        <v>0.27838372704727071</v>
      </c>
      <c r="D5" s="13">
        <f>D4/$F$4</f>
        <v>0.31412610536336083</v>
      </c>
      <c r="E5" s="13">
        <f>E4/$F$4</f>
        <v>0.18464390390540844</v>
      </c>
      <c r="F5" s="13">
        <f>F4/$F$4</f>
        <v>1</v>
      </c>
    </row>
    <row r="6" spans="1:11" x14ac:dyDescent="0.2">
      <c r="A6" s="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84713-F21D-D248-B5B1-17B5C36CE147}">
  <dimension ref="A1:N7"/>
  <sheetViews>
    <sheetView workbookViewId="0">
      <selection activeCell="B7" sqref="B7"/>
    </sheetView>
  </sheetViews>
  <sheetFormatPr baseColWidth="10" defaultRowHeight="15" x14ac:dyDescent="0.2"/>
  <cols>
    <col min="1" max="1" width="17.1640625" customWidth="1"/>
    <col min="2" max="2" width="17.5" bestFit="1" customWidth="1"/>
    <col min="3" max="3" width="16" bestFit="1" customWidth="1"/>
    <col min="4" max="5" width="22.5" bestFit="1" customWidth="1"/>
    <col min="6" max="6" width="14.5" bestFit="1" customWidth="1"/>
    <col min="7" max="7" width="14.1640625" bestFit="1" customWidth="1"/>
    <col min="8" max="9" width="15.83203125" bestFit="1" customWidth="1"/>
    <col min="10" max="10" width="28.83203125" bestFit="1" customWidth="1"/>
    <col min="11" max="11" width="26.6640625" bestFit="1" customWidth="1"/>
  </cols>
  <sheetData>
    <row r="1" spans="1:14" x14ac:dyDescent="0.2"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8</v>
      </c>
    </row>
    <row r="2" spans="1:14" x14ac:dyDescent="0.2">
      <c r="A2" s="6" t="s">
        <v>63</v>
      </c>
      <c r="B2" s="8">
        <v>62465</v>
      </c>
      <c r="C2" s="8">
        <v>54147</v>
      </c>
      <c r="D2" s="8">
        <v>38224</v>
      </c>
      <c r="E2" s="8">
        <v>58450</v>
      </c>
      <c r="F2" s="8">
        <v>2964</v>
      </c>
      <c r="G2" s="8">
        <v>34590</v>
      </c>
      <c r="H2" s="8">
        <v>34922</v>
      </c>
      <c r="I2" s="8">
        <v>20592</v>
      </c>
      <c r="J2" s="8">
        <v>15432</v>
      </c>
      <c r="K2" s="8">
        <v>2644</v>
      </c>
      <c r="L2" s="8">
        <v>75274</v>
      </c>
      <c r="M2" s="8">
        <v>29840</v>
      </c>
      <c r="N2" s="8">
        <f>SUM(B2:M2)</f>
        <v>429544</v>
      </c>
    </row>
    <row r="3" spans="1:14" x14ac:dyDescent="0.2">
      <c r="A3" s="6" t="s">
        <v>34</v>
      </c>
      <c r="B3" s="13">
        <f>B2/$N$2</f>
        <v>0.1454216564542864</v>
      </c>
      <c r="C3" s="13">
        <f t="shared" ref="C3:J3" si="0">C2/$N$2</f>
        <v>0.12605693479596969</v>
      </c>
      <c r="D3" s="13">
        <f t="shared" si="0"/>
        <v>8.8987391280055131E-2</v>
      </c>
      <c r="E3" s="13">
        <f t="shared" si="0"/>
        <v>0.13607453485556775</v>
      </c>
      <c r="F3" s="13">
        <f t="shared" si="0"/>
        <v>6.9003408265509471E-3</v>
      </c>
      <c r="G3" s="13">
        <f t="shared" si="0"/>
        <v>8.052725681187492E-2</v>
      </c>
      <c r="H3" s="13">
        <f t="shared" si="0"/>
        <v>8.1300169482055387E-2</v>
      </c>
      <c r="I3" s="13">
        <f t="shared" si="0"/>
        <v>4.7939209952880264E-2</v>
      </c>
      <c r="J3" s="13">
        <f t="shared" si="0"/>
        <v>3.5926470862123555E-2</v>
      </c>
      <c r="K3" s="13">
        <f>K2/$N$2</f>
        <v>6.1553647589071203E-3</v>
      </c>
      <c r="L3" s="13">
        <f t="shared" ref="L3" si="1">L2/$N$2</f>
        <v>0.17524165161194197</v>
      </c>
      <c r="M3" s="13">
        <f t="shared" ref="M3" si="2">M2/$N$2</f>
        <v>6.9469018307786859E-2</v>
      </c>
      <c r="N3" s="13">
        <f t="shared" ref="N3" si="3">N2/$N$2</f>
        <v>1</v>
      </c>
    </row>
    <row r="6" spans="1:14" x14ac:dyDescent="0.2">
      <c r="A6" s="2" t="s">
        <v>49</v>
      </c>
    </row>
    <row r="7" spans="1:14" x14ac:dyDescent="0.2">
      <c r="A7" s="2" t="s">
        <v>56</v>
      </c>
      <c r="B7" s="9" t="s">
        <v>57</v>
      </c>
    </row>
  </sheetData>
  <hyperlinks>
    <hyperlink ref="B7" r:id="rId1" xr:uid="{3EAE6D75-D8A7-3D46-86EB-1F2970401CB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C4A2-A88C-9648-87A5-36ED3B146C20}">
  <dimension ref="A1:K10"/>
  <sheetViews>
    <sheetView tabSelected="1" workbookViewId="0">
      <selection activeCell="A6" sqref="A6"/>
    </sheetView>
  </sheetViews>
  <sheetFormatPr baseColWidth="10" defaultRowHeight="15" x14ac:dyDescent="0.2"/>
  <cols>
    <col min="2" max="2" width="11.1640625" customWidth="1"/>
  </cols>
  <sheetData>
    <row r="1" spans="1:11" x14ac:dyDescent="0.2">
      <c r="B1" s="3" t="s">
        <v>60</v>
      </c>
      <c r="C1" s="3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71</v>
      </c>
      <c r="K1" s="6" t="s">
        <v>8</v>
      </c>
    </row>
    <row r="2" spans="1:11" x14ac:dyDescent="0.2">
      <c r="A2" s="3"/>
      <c r="B2" s="4">
        <v>84587</v>
      </c>
      <c r="C2" s="4">
        <v>95782</v>
      </c>
      <c r="D2" s="4">
        <v>71912</v>
      </c>
      <c r="E2" s="4">
        <v>27951</v>
      </c>
      <c r="F2" s="4">
        <v>89576</v>
      </c>
      <c r="G2" s="4">
        <v>54195</v>
      </c>
      <c r="H2" s="4">
        <v>158302</v>
      </c>
      <c r="I2" s="4">
        <v>15302</v>
      </c>
      <c r="J2" s="4">
        <v>8201</v>
      </c>
      <c r="K2">
        <v>605808</v>
      </c>
    </row>
    <row r="3" spans="1:11" x14ac:dyDescent="0.2">
      <c r="A3" s="3"/>
      <c r="B3" s="14">
        <f>B2/$K$2</f>
        <v>0.13962674642791115</v>
      </c>
      <c r="C3" s="14">
        <f t="shared" ref="C3:K3" si="0">C2/$K$2</f>
        <v>0.15810619866360298</v>
      </c>
      <c r="D3" s="14">
        <f t="shared" si="0"/>
        <v>0.11870427594221271</v>
      </c>
      <c r="E3" s="14">
        <f t="shared" si="0"/>
        <v>4.6138380476982807E-2</v>
      </c>
      <c r="F3" s="14">
        <f t="shared" si="0"/>
        <v>0.14786202889364286</v>
      </c>
      <c r="G3" s="14">
        <f t="shared" si="0"/>
        <v>8.9459036526424215E-2</v>
      </c>
      <c r="H3" s="14">
        <f t="shared" si="0"/>
        <v>0.26130721284631436</v>
      </c>
      <c r="I3" s="14">
        <f t="shared" si="0"/>
        <v>2.5258827879460159E-2</v>
      </c>
      <c r="J3" s="14">
        <f t="shared" si="0"/>
        <v>1.353729234344875E-2</v>
      </c>
      <c r="K3" s="14">
        <f t="shared" si="0"/>
        <v>1</v>
      </c>
    </row>
    <row r="4" spans="1:11" x14ac:dyDescent="0.2">
      <c r="A4" s="3"/>
    </row>
    <row r="5" spans="1:11" x14ac:dyDescent="0.2">
      <c r="A5" s="10" t="s">
        <v>58</v>
      </c>
      <c r="B5" s="4"/>
      <c r="C5" s="4"/>
    </row>
    <row r="6" spans="1:11" x14ac:dyDescent="0.2">
      <c r="A6" s="10" t="s">
        <v>56</v>
      </c>
      <c r="B6" s="11" t="s">
        <v>59</v>
      </c>
      <c r="C6" s="4"/>
    </row>
    <row r="7" spans="1:11" x14ac:dyDescent="0.2">
      <c r="A7" s="10" t="s">
        <v>61</v>
      </c>
      <c r="B7" s="4"/>
      <c r="C7" s="4"/>
    </row>
    <row r="8" spans="1:11" x14ac:dyDescent="0.2">
      <c r="A8" s="10"/>
      <c r="B8" s="4"/>
      <c r="C8" s="4"/>
    </row>
    <row r="9" spans="1:11" x14ac:dyDescent="0.2">
      <c r="A9" s="3"/>
      <c r="B9" s="4"/>
      <c r="C9" s="4"/>
    </row>
    <row r="10" spans="1:11" x14ac:dyDescent="0.2">
      <c r="A10" s="3"/>
      <c r="B10" s="4"/>
      <c r="C10" s="4"/>
    </row>
  </sheetData>
  <hyperlinks>
    <hyperlink ref="B6" r:id="rId1" xr:uid="{CFB744B1-9FAE-9A4A-ADF3-10A3E6F4709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55A5-5122-4F4C-ADCE-F30B5BCB49D1}">
  <dimension ref="A1:G15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40.6640625" customWidth="1"/>
    <col min="2" max="2" width="20.33203125" customWidth="1"/>
    <col min="3" max="3" width="7" customWidth="1"/>
    <col min="4" max="4" width="34.5" customWidth="1"/>
    <col min="5" max="5" width="16.6640625" customWidth="1"/>
    <col min="6" max="6" width="13.6640625" customWidth="1"/>
  </cols>
  <sheetData>
    <row r="1" spans="1:7" ht="17" x14ac:dyDescent="0.2">
      <c r="A1" s="1" t="s">
        <v>80</v>
      </c>
    </row>
    <row r="2" spans="1:7" x14ac:dyDescent="0.2">
      <c r="A2" s="2" t="s">
        <v>0</v>
      </c>
    </row>
    <row r="3" spans="1:7" x14ac:dyDescent="0.2">
      <c r="E3" s="3" t="s">
        <v>79</v>
      </c>
      <c r="F3" s="3" t="s">
        <v>78</v>
      </c>
      <c r="G3" s="6" t="s">
        <v>77</v>
      </c>
    </row>
    <row r="4" spans="1:7" x14ac:dyDescent="0.2">
      <c r="A4" s="3" t="s">
        <v>76</v>
      </c>
      <c r="B4" s="3" t="s">
        <v>75</v>
      </c>
      <c r="C4" s="3" t="s">
        <v>74</v>
      </c>
      <c r="D4" s="3" t="s">
        <v>20</v>
      </c>
      <c r="E4" s="4">
        <v>30732</v>
      </c>
      <c r="F4" s="4">
        <v>1469</v>
      </c>
      <c r="G4" s="12">
        <f>F4/E4</f>
        <v>4.7800338409475465E-2</v>
      </c>
    </row>
    <row r="5" spans="1:7" x14ac:dyDescent="0.2">
      <c r="D5" s="3" t="s">
        <v>21</v>
      </c>
      <c r="E5" s="4">
        <v>44612</v>
      </c>
      <c r="F5" s="4">
        <v>5192</v>
      </c>
      <c r="G5" s="12">
        <f>F5/E5</f>
        <v>0.11638124271496458</v>
      </c>
    </row>
    <row r="6" spans="1:7" x14ac:dyDescent="0.2">
      <c r="D6" s="6" t="s">
        <v>7</v>
      </c>
      <c r="E6">
        <v>55371</v>
      </c>
      <c r="F6" s="16">
        <f>E6*G6</f>
        <v>6644.5199999999995</v>
      </c>
      <c r="G6" s="7">
        <v>0.12</v>
      </c>
    </row>
    <row r="7" spans="1:7" x14ac:dyDescent="0.2">
      <c r="D7" s="3" t="s">
        <v>25</v>
      </c>
      <c r="E7" s="4">
        <v>20935</v>
      </c>
      <c r="F7" s="4">
        <v>2879</v>
      </c>
      <c r="G7" s="12">
        <f t="shared" ref="G7:G14" si="0">F7/E7</f>
        <v>0.13752089801767375</v>
      </c>
    </row>
    <row r="8" spans="1:7" x14ac:dyDescent="0.2">
      <c r="D8" s="3" t="s">
        <v>28</v>
      </c>
      <c r="E8" s="4">
        <v>34062</v>
      </c>
      <c r="F8" s="4">
        <v>5480</v>
      </c>
      <c r="G8" s="12">
        <f t="shared" si="0"/>
        <v>0.16088309553167754</v>
      </c>
    </row>
    <row r="9" spans="1:7" x14ac:dyDescent="0.2">
      <c r="D9" s="3" t="s">
        <v>23</v>
      </c>
      <c r="E9" s="4">
        <v>43280</v>
      </c>
      <c r="F9" s="4">
        <v>7026</v>
      </c>
      <c r="G9" s="12">
        <f t="shared" si="0"/>
        <v>0.16233826247689465</v>
      </c>
    </row>
    <row r="10" spans="1:7" x14ac:dyDescent="0.2">
      <c r="D10" s="3" t="s">
        <v>24</v>
      </c>
      <c r="E10" s="4">
        <v>33842</v>
      </c>
      <c r="F10" s="4">
        <v>6730</v>
      </c>
      <c r="G10" s="12">
        <f t="shared" si="0"/>
        <v>0.19886531528869453</v>
      </c>
    </row>
    <row r="11" spans="1:7" x14ac:dyDescent="0.2">
      <c r="D11" s="3" t="s">
        <v>29</v>
      </c>
      <c r="E11" s="4">
        <v>46243</v>
      </c>
      <c r="F11" s="4">
        <v>9202</v>
      </c>
      <c r="G11" s="12">
        <f t="shared" si="0"/>
        <v>0.19899227991263543</v>
      </c>
    </row>
    <row r="12" spans="1:7" x14ac:dyDescent="0.2">
      <c r="D12" s="3" t="s">
        <v>22</v>
      </c>
      <c r="E12" s="4">
        <v>42367</v>
      </c>
      <c r="F12" s="4">
        <v>9225</v>
      </c>
      <c r="G12" s="12">
        <f t="shared" si="0"/>
        <v>0.21774022234286119</v>
      </c>
    </row>
    <row r="13" spans="1:7" x14ac:dyDescent="0.2">
      <c r="D13" s="3" t="s">
        <v>27</v>
      </c>
      <c r="E13" s="4">
        <v>31033</v>
      </c>
      <c r="F13" s="4">
        <v>9555</v>
      </c>
      <c r="G13" s="12">
        <f t="shared" si="0"/>
        <v>0.30789804401765863</v>
      </c>
    </row>
    <row r="14" spans="1:7" x14ac:dyDescent="0.2">
      <c r="D14" s="3" t="s">
        <v>26</v>
      </c>
      <c r="E14" s="4">
        <v>21579</v>
      </c>
      <c r="F14" s="4">
        <v>8918</v>
      </c>
      <c r="G14" s="12">
        <f t="shared" si="0"/>
        <v>0.41327216275082257</v>
      </c>
    </row>
    <row r="15" spans="1:7" ht="64" x14ac:dyDescent="0.2">
      <c r="A15" s="5" t="s">
        <v>73</v>
      </c>
    </row>
  </sheetData>
  <pageMargins left="0.75" right="0.75" top="0.75" bottom="0.5" header="0.5" footer="0.75"/>
  <pageSetup orientation="portrait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ALDER</vt:lpstr>
      <vt:lpstr>KØN</vt:lpstr>
      <vt:lpstr>BYDEL</vt:lpstr>
      <vt:lpstr>BOFORM</vt:lpstr>
      <vt:lpstr>PARTIER</vt:lpstr>
      <vt:lpstr>UDD</vt:lpstr>
      <vt:lpstr>Antal almene boliger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Marius Bøjer Kristensen</cp:lastModifiedBy>
  <dcterms:created xsi:type="dcterms:W3CDTF">2026-04-22T08:29:45Z</dcterms:created>
  <dcterms:modified xsi:type="dcterms:W3CDTF">2026-05-26T07:44:03Z</dcterms:modified>
</cp:coreProperties>
</file>